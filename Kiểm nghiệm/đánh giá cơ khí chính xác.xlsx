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MECHATRONICS\Tot_nghiep\Do_an_Delta.Robot_Dang_Rui_Bi\Kiểm nghiệm\"/>
    </mc:Choice>
  </mc:AlternateContent>
  <xr:revisionPtr revIDLastSave="0" documentId="8_{E388A137-DD15-466E-B89A-5C0D83FADEC4}" xr6:coauthVersionLast="47" xr6:coauthVersionMax="47" xr10:uidLastSave="{00000000-0000-0000-0000-000000000000}"/>
  <bookViews>
    <workbookView xWindow="-108" yWindow="-108" windowWidth="23256" windowHeight="12456" xr2:uid="{69690D93-AB3E-488E-B057-0FAA937D3EE4}"/>
  </bookViews>
  <sheets>
    <sheet name="TRÒN" sheetId="1" r:id="rId1"/>
    <sheet name="VUÔNG" sheetId="2" r:id="rId2"/>
    <sheet name="TAM GIÁC ĐỀ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H6" i="1" s="1"/>
  <c r="G4" i="1"/>
  <c r="G2" i="1"/>
  <c r="H2" i="1" s="1"/>
  <c r="G3" i="1"/>
  <c r="H4" i="1"/>
  <c r="H3" i="1"/>
  <c r="H5" i="1"/>
</calcChain>
</file>

<file path=xl/sharedStrings.xml><?xml version="1.0" encoding="utf-8"?>
<sst xmlns="http://schemas.openxmlformats.org/spreadsheetml/2006/main" count="24" uniqueCount="10">
  <si>
    <t>Lần 1</t>
  </si>
  <si>
    <t>Sai số trung bình</t>
  </si>
  <si>
    <t>Lần 5</t>
  </si>
  <si>
    <t>Lần 4</t>
  </si>
  <si>
    <t>Lần 3</t>
  </si>
  <si>
    <t>Lần 2</t>
  </si>
  <si>
    <t xml:space="preserve">Kích thước (Bán kính R mm) </t>
  </si>
  <si>
    <t xml:space="preserve">Kích thước (Cạnh A mm) </t>
  </si>
  <si>
    <t xml:space="preserve">Kích thước (Cạnh T mm) </t>
  </si>
  <si>
    <t>Phần trăm sai số (Tiêu chuẩn 0% đến 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</si>
</sst>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2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73" fontId="1" fillId="3" borderId="1" xfId="0" applyNumberFormat="1" applyFont="1" applyFill="1" applyBorder="1"/>
    <xf numFmtId="2" fontId="1" fillId="3" borderId="1" xfId="0" applyNumberFormat="1" applyFont="1" applyFill="1" applyBorder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/>
    <xf numFmtId="173" fontId="1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23D3-0554-4699-8A76-A9B8D6292E13}">
  <dimension ref="A1:H8"/>
  <sheetViews>
    <sheetView tabSelected="1" workbookViewId="0">
      <selection activeCell="B5" sqref="B5"/>
    </sheetView>
  </sheetViews>
  <sheetFormatPr defaultColWidth="11" defaultRowHeight="16.8" x14ac:dyDescent="0.3"/>
  <cols>
    <col min="1" max="1" width="11.19921875" style="3" customWidth="1"/>
    <col min="2" max="6" width="11" style="1"/>
    <col min="7" max="7" width="16.296875" style="1" customWidth="1"/>
    <col min="8" max="8" width="17.296875" style="1" customWidth="1"/>
    <col min="9" max="16384" width="11" style="1"/>
  </cols>
  <sheetData>
    <row r="1" spans="1:8" s="2" customFormat="1" ht="69" customHeight="1" x14ac:dyDescent="0.25">
      <c r="A1" s="4" t="s">
        <v>6</v>
      </c>
      <c r="B1" s="5" t="s">
        <v>0</v>
      </c>
      <c r="C1" s="5" t="s">
        <v>5</v>
      </c>
      <c r="D1" s="5" t="s">
        <v>4</v>
      </c>
      <c r="E1" s="5" t="s">
        <v>3</v>
      </c>
      <c r="F1" s="5" t="s">
        <v>2</v>
      </c>
      <c r="G1" s="5" t="s">
        <v>1</v>
      </c>
      <c r="H1" s="4" t="s">
        <v>9</v>
      </c>
    </row>
    <row r="2" spans="1:8" x14ac:dyDescent="0.3">
      <c r="A2" s="6">
        <v>10</v>
      </c>
      <c r="B2" s="9">
        <v>19.98</v>
      </c>
      <c r="C2" s="9">
        <v>20.100000000000001</v>
      </c>
      <c r="D2" s="9">
        <v>20.079999999999998</v>
      </c>
      <c r="E2" s="9">
        <v>19.7</v>
      </c>
      <c r="F2" s="9">
        <v>19.98</v>
      </c>
      <c r="G2" s="7">
        <f>ABS(20-SUM(B2:F2)/5)</f>
        <v>3.2000000000000028E-2</v>
      </c>
      <c r="H2" s="8">
        <f>(G2/(A2*2))*100</f>
        <v>0.16000000000000014</v>
      </c>
    </row>
    <row r="3" spans="1:8" x14ac:dyDescent="0.3">
      <c r="A3" s="6">
        <v>15</v>
      </c>
      <c r="B3" s="9">
        <v>30.04</v>
      </c>
      <c r="C3" s="9">
        <v>29.7</v>
      </c>
      <c r="D3" s="9">
        <v>29.6</v>
      </c>
      <c r="E3" s="9">
        <v>29.9</v>
      </c>
      <c r="F3" s="9">
        <v>30</v>
      </c>
      <c r="G3" s="7">
        <f>ABS(30-SUM(B3:F3)/5)</f>
        <v>0.15199999999999747</v>
      </c>
      <c r="H3" s="8">
        <f>(G3/(A3*2))*100</f>
        <v>0.50666666666665827</v>
      </c>
    </row>
    <row r="4" spans="1:8" x14ac:dyDescent="0.3">
      <c r="A4" s="6">
        <v>20</v>
      </c>
      <c r="B4" s="9">
        <v>40.4</v>
      </c>
      <c r="C4" s="9">
        <v>40.1</v>
      </c>
      <c r="D4" s="9">
        <v>40.1</v>
      </c>
      <c r="E4" s="9">
        <v>40.299999999999997</v>
      </c>
      <c r="F4" s="9">
        <v>40.200000000000003</v>
      </c>
      <c r="G4" s="8">
        <f>ABS(A4*2-SUM(B4:F4)/5)</f>
        <v>0.21999999999999176</v>
      </c>
      <c r="H4" s="8">
        <f t="shared" ref="H4:H8" si="0">(G4/(A4*2))*100</f>
        <v>0.54999999999997939</v>
      </c>
    </row>
    <row r="5" spans="1:8" x14ac:dyDescent="0.3">
      <c r="A5" s="6">
        <v>25</v>
      </c>
      <c r="B5" s="7"/>
      <c r="C5" s="7"/>
      <c r="D5" s="7"/>
      <c r="E5" s="7"/>
      <c r="F5" s="7"/>
      <c r="G5" s="7">
        <f t="shared" ref="G5:G6" si="1">ABS(A5*2-SUM(B5:F5)/5)</f>
        <v>50</v>
      </c>
      <c r="H5" s="8">
        <f t="shared" si="0"/>
        <v>100</v>
      </c>
    </row>
    <row r="6" spans="1:8" x14ac:dyDescent="0.3">
      <c r="A6" s="6">
        <v>30</v>
      </c>
      <c r="B6" s="7"/>
      <c r="C6" s="7"/>
      <c r="D6" s="7"/>
      <c r="E6" s="7"/>
      <c r="F6" s="7"/>
      <c r="G6" s="7">
        <f t="shared" si="1"/>
        <v>60</v>
      </c>
      <c r="H6" s="8">
        <f t="shared" si="0"/>
        <v>100</v>
      </c>
    </row>
    <row r="7" spans="1:8" x14ac:dyDescent="0.3">
      <c r="A7" s="10"/>
      <c r="B7" s="11"/>
      <c r="C7" s="11"/>
      <c r="D7" s="11"/>
      <c r="E7" s="11"/>
      <c r="F7" s="11"/>
      <c r="G7" s="11"/>
      <c r="H7" s="12"/>
    </row>
    <row r="8" spans="1:8" x14ac:dyDescent="0.3">
      <c r="A8" s="10"/>
      <c r="B8" s="11"/>
      <c r="C8" s="11"/>
      <c r="D8" s="11"/>
      <c r="E8" s="11"/>
      <c r="F8" s="11"/>
      <c r="G8" s="11"/>
      <c r="H8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F479-7641-46AB-BA7D-4379372F9268}">
  <dimension ref="A1:H8"/>
  <sheetViews>
    <sheetView workbookViewId="0">
      <selection activeCell="H1" sqref="H1:H1048576"/>
    </sheetView>
  </sheetViews>
  <sheetFormatPr defaultColWidth="11" defaultRowHeight="16.8" x14ac:dyDescent="0.3"/>
  <cols>
    <col min="1" max="1" width="11.19921875" style="3" customWidth="1"/>
    <col min="2" max="6" width="11" style="1"/>
    <col min="7" max="7" width="16.296875" style="1" customWidth="1"/>
    <col min="8" max="8" width="17.296875" style="1" customWidth="1"/>
    <col min="9" max="16384" width="11" style="1"/>
  </cols>
  <sheetData>
    <row r="1" spans="1:8" s="2" customFormat="1" ht="69" customHeight="1" x14ac:dyDescent="0.25">
      <c r="A1" s="4" t="s">
        <v>7</v>
      </c>
      <c r="B1" s="5" t="s">
        <v>0</v>
      </c>
      <c r="C1" s="5" t="s">
        <v>5</v>
      </c>
      <c r="D1" s="5" t="s">
        <v>4</v>
      </c>
      <c r="E1" s="5" t="s">
        <v>3</v>
      </c>
      <c r="F1" s="5" t="s">
        <v>2</v>
      </c>
      <c r="G1" s="5" t="s">
        <v>1</v>
      </c>
      <c r="H1" s="4" t="s">
        <v>9</v>
      </c>
    </row>
    <row r="2" spans="1:8" x14ac:dyDescent="0.3">
      <c r="A2" s="6">
        <v>10</v>
      </c>
      <c r="B2" s="7"/>
      <c r="C2" s="7"/>
      <c r="D2" s="7"/>
      <c r="E2" s="7"/>
      <c r="F2" s="7"/>
      <c r="G2" s="7"/>
      <c r="H2" s="7"/>
    </row>
    <row r="3" spans="1:8" x14ac:dyDescent="0.3">
      <c r="A3" s="6">
        <v>15</v>
      </c>
      <c r="B3" s="7"/>
      <c r="C3" s="7"/>
      <c r="D3" s="7"/>
      <c r="E3" s="7"/>
      <c r="F3" s="7"/>
      <c r="G3" s="7"/>
      <c r="H3" s="7"/>
    </row>
    <row r="4" spans="1:8" x14ac:dyDescent="0.3">
      <c r="A4" s="6">
        <v>20</v>
      </c>
      <c r="B4" s="7"/>
      <c r="C4" s="7"/>
      <c r="D4" s="7"/>
      <c r="E4" s="7"/>
      <c r="F4" s="7"/>
      <c r="G4" s="7"/>
      <c r="H4" s="7"/>
    </row>
    <row r="5" spans="1:8" x14ac:dyDescent="0.3">
      <c r="A5" s="6">
        <v>25</v>
      </c>
      <c r="B5" s="7"/>
      <c r="C5" s="7"/>
      <c r="D5" s="7"/>
      <c r="E5" s="7"/>
      <c r="F5" s="7"/>
      <c r="G5" s="7"/>
      <c r="H5" s="7"/>
    </row>
    <row r="6" spans="1:8" x14ac:dyDescent="0.3">
      <c r="A6" s="6">
        <v>30</v>
      </c>
      <c r="B6" s="7"/>
      <c r="C6" s="7"/>
      <c r="D6" s="7"/>
      <c r="E6" s="7"/>
      <c r="F6" s="7"/>
      <c r="G6" s="7"/>
      <c r="H6" s="7"/>
    </row>
    <row r="7" spans="1:8" x14ac:dyDescent="0.3">
      <c r="A7" s="6">
        <v>35</v>
      </c>
      <c r="B7" s="7"/>
      <c r="C7" s="7"/>
      <c r="D7" s="7"/>
      <c r="E7" s="7"/>
      <c r="F7" s="7"/>
      <c r="G7" s="7"/>
      <c r="H7" s="7"/>
    </row>
    <row r="8" spans="1:8" x14ac:dyDescent="0.3">
      <c r="A8" s="6">
        <v>40</v>
      </c>
      <c r="B8" s="7"/>
      <c r="C8" s="7"/>
      <c r="D8" s="7"/>
      <c r="E8" s="7"/>
      <c r="F8" s="7"/>
      <c r="G8" s="7"/>
      <c r="H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EA89-8734-48E9-9CF3-20CCCDB9D173}">
  <dimension ref="A1:H8"/>
  <sheetViews>
    <sheetView workbookViewId="0">
      <selection activeCell="J8" sqref="J8"/>
    </sheetView>
  </sheetViews>
  <sheetFormatPr defaultColWidth="11" defaultRowHeight="16.8" x14ac:dyDescent="0.3"/>
  <cols>
    <col min="1" max="1" width="11.19921875" style="3" customWidth="1"/>
    <col min="2" max="6" width="11" style="1"/>
    <col min="7" max="7" width="16.296875" style="1" customWidth="1"/>
    <col min="8" max="8" width="17.296875" style="1" customWidth="1"/>
    <col min="9" max="16384" width="11" style="1"/>
  </cols>
  <sheetData>
    <row r="1" spans="1:8" s="2" customFormat="1" ht="69" customHeight="1" x14ac:dyDescent="0.25">
      <c r="A1" s="4" t="s">
        <v>8</v>
      </c>
      <c r="B1" s="5" t="s">
        <v>0</v>
      </c>
      <c r="C1" s="5" t="s">
        <v>5</v>
      </c>
      <c r="D1" s="5" t="s">
        <v>4</v>
      </c>
      <c r="E1" s="5" t="s">
        <v>3</v>
      </c>
      <c r="F1" s="5" t="s">
        <v>2</v>
      </c>
      <c r="G1" s="5" t="s">
        <v>1</v>
      </c>
      <c r="H1" s="4" t="s">
        <v>9</v>
      </c>
    </row>
    <row r="2" spans="1:8" x14ac:dyDescent="0.3">
      <c r="A2" s="6">
        <v>10</v>
      </c>
      <c r="B2" s="7"/>
      <c r="C2" s="7"/>
      <c r="D2" s="7"/>
      <c r="E2" s="7"/>
      <c r="F2" s="7"/>
      <c r="G2" s="7"/>
      <c r="H2" s="7"/>
    </row>
    <row r="3" spans="1:8" x14ac:dyDescent="0.3">
      <c r="A3" s="6">
        <v>15</v>
      </c>
      <c r="B3" s="7"/>
      <c r="C3" s="7"/>
      <c r="D3" s="7"/>
      <c r="E3" s="7"/>
      <c r="F3" s="7"/>
      <c r="G3" s="7"/>
      <c r="H3" s="7"/>
    </row>
    <row r="4" spans="1:8" x14ac:dyDescent="0.3">
      <c r="A4" s="6">
        <v>20</v>
      </c>
      <c r="B4" s="7"/>
      <c r="C4" s="7"/>
      <c r="D4" s="7"/>
      <c r="E4" s="7"/>
      <c r="F4" s="7"/>
      <c r="G4" s="7"/>
      <c r="H4" s="7"/>
    </row>
    <row r="5" spans="1:8" x14ac:dyDescent="0.3">
      <c r="A5" s="6">
        <v>25</v>
      </c>
      <c r="B5" s="7"/>
      <c r="C5" s="7"/>
      <c r="D5" s="7"/>
      <c r="E5" s="7"/>
      <c r="F5" s="7"/>
      <c r="G5" s="7"/>
      <c r="H5" s="7"/>
    </row>
    <row r="6" spans="1:8" x14ac:dyDescent="0.3">
      <c r="A6" s="6">
        <v>30</v>
      </c>
      <c r="B6" s="7"/>
      <c r="C6" s="7"/>
      <c r="D6" s="7"/>
      <c r="E6" s="7"/>
      <c r="F6" s="7"/>
      <c r="G6" s="7"/>
      <c r="H6" s="7"/>
    </row>
    <row r="7" spans="1:8" x14ac:dyDescent="0.3">
      <c r="A7" s="6">
        <v>35</v>
      </c>
      <c r="B7" s="7"/>
      <c r="C7" s="7"/>
      <c r="D7" s="7"/>
      <c r="E7" s="7"/>
      <c r="F7" s="7"/>
      <c r="G7" s="7"/>
      <c r="H7" s="7"/>
    </row>
    <row r="8" spans="1:8" x14ac:dyDescent="0.3">
      <c r="A8" s="6">
        <v>40</v>
      </c>
      <c r="B8" s="7"/>
      <c r="C8" s="7"/>
      <c r="D8" s="7"/>
      <c r="E8" s="7"/>
      <c r="F8" s="7"/>
      <c r="G8" s="7"/>
      <c r="H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TRÒN</vt:lpstr>
      <vt:lpstr>VUÔNG</vt:lpstr>
      <vt:lpstr>TAM GIÁC ĐỀU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2026-06-20T05:45:23Z</dcterms:created>
  <dcterms:modified xsi:type="dcterms:W3CDTF">2026-06-20T06:47:59Z</dcterms:modified>
</cp:coreProperties>
</file>